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loudaretechnologies-my.sharepoint.com/personal/ritesh_cloudare_in/Documents/MI/Billing/"/>
    </mc:Choice>
  </mc:AlternateContent>
  <xr:revisionPtr revIDLastSave="32" documentId="13_ncr:1_{F6389E6C-CD8F-4EFE-B721-34D0D47D56A5}" xr6:coauthVersionLast="47" xr6:coauthVersionMax="47" xr10:uidLastSave="{FCEAE281-9B4A-4B32-AE58-DB980B68D2C9}"/>
  <bookViews>
    <workbookView xWindow="-110" yWindow="-110" windowWidth="19420" windowHeight="10300" xr2:uid="{00000000-000D-0000-FFFF-FFFF00000000}"/>
  </bookViews>
  <sheets>
    <sheet name="Summary" sheetId="1" r:id="rId1"/>
    <sheet name="FY 2026-27" sheetId="3" r:id="rId2"/>
    <sheet name="Old INVs" sheetId="2" r:id="rId3"/>
  </sheets>
  <definedNames>
    <definedName name="_xlnm._FilterDatabase" localSheetId="0" hidden="1">Summary!$A$1:$E$13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SCLKmkLhSHHZe4qUEZzwefmuNLoTE6A13W3TiYGO6I="/>
    </ext>
  </extLst>
</workbook>
</file>

<file path=xl/calcChain.xml><?xml version="1.0" encoding="utf-8"?>
<calcChain xmlns="http://schemas.openxmlformats.org/spreadsheetml/2006/main">
  <c r="C13" i="1" l="1"/>
  <c r="D13" i="1"/>
  <c r="E13" i="1"/>
  <c r="B13" i="1"/>
  <c r="C3" i="3"/>
  <c r="B10" i="1"/>
  <c r="E10" i="1" s="1"/>
  <c r="E12" i="1"/>
  <c r="E11" i="1"/>
  <c r="E3" i="1"/>
  <c r="E7" i="1"/>
  <c r="E8" i="1"/>
  <c r="E9" i="1"/>
  <c r="D8" i="1"/>
  <c r="D6" i="1"/>
  <c r="E6" i="1" s="1"/>
  <c r="D4" i="1"/>
  <c r="E4" i="1" s="1"/>
  <c r="D2" i="1"/>
  <c r="C14" i="2"/>
  <c r="C6" i="1"/>
  <c r="C8" i="1"/>
  <c r="C2" i="1" l="1"/>
  <c r="B5" i="1" l="1"/>
  <c r="E5" i="1" s="1"/>
  <c r="B2" i="1" l="1"/>
  <c r="E2" i="1" l="1"/>
  <c r="C4" i="1"/>
</calcChain>
</file>

<file path=xl/sharedStrings.xml><?xml version="1.0" encoding="utf-8"?>
<sst xmlns="http://schemas.openxmlformats.org/spreadsheetml/2006/main" count="40" uniqueCount="37">
  <si>
    <t>Project Name</t>
  </si>
  <si>
    <t>Project Amount</t>
  </si>
  <si>
    <t>Invoiced Amount</t>
  </si>
  <si>
    <t>Due Amount</t>
  </si>
  <si>
    <t>Remark</t>
  </si>
  <si>
    <t xml:space="preserve">Motherson Reload Activity </t>
  </si>
  <si>
    <t>Max issues - Additional</t>
  </si>
  <si>
    <t>Alana IRN List Project</t>
  </si>
  <si>
    <t>Total</t>
  </si>
  <si>
    <t>Invoice No</t>
  </si>
  <si>
    <t>Invoice Date</t>
  </si>
  <si>
    <t>Amount</t>
  </si>
  <si>
    <t>INV-002</t>
  </si>
  <si>
    <t>INV-004</t>
  </si>
  <si>
    <t>INV-005</t>
  </si>
  <si>
    <t>INV-006</t>
  </si>
  <si>
    <t>INV-007</t>
  </si>
  <si>
    <t>And 10K remaining from Kunal other than this, revised to 30k due to additional email requirement</t>
  </si>
  <si>
    <t>Adhoc Work</t>
  </si>
  <si>
    <t>1. Analysis for new Client and Screenshots for Debit and Credit Memo (25-11-2024 2 Hrs) 2. Allana Issue resolved over a call (1 Hour) 3. Allana Issue 27-Dec-2024 Call and bugfix (1hour)</t>
  </si>
  <si>
    <t>INV-008</t>
  </si>
  <si>
    <t>BGPPL GST AMC (PO/24-25/077) (1st Feb,2025 to 31st Jan,2026)</t>
  </si>
  <si>
    <t>BGPPL Adhoc Work (Add Two Fields in Integration)</t>
  </si>
  <si>
    <t>Voucer Number and GL Date is added In Purchase File as well as Recon files</t>
  </si>
  <si>
    <t>INV-009</t>
  </si>
  <si>
    <t>INV-010</t>
  </si>
  <si>
    <t>Motherson Work (PO/25-26/007)</t>
  </si>
  <si>
    <t>INV-011</t>
  </si>
  <si>
    <t>INV-012</t>
  </si>
  <si>
    <t>INV-013</t>
  </si>
  <si>
    <t>Motherson PROD Deployment</t>
  </si>
  <si>
    <t>INV-014</t>
  </si>
  <si>
    <t>Paid Amount</t>
  </si>
  <si>
    <t>Portscape AMC</t>
  </si>
  <si>
    <t>BGPPL AMC (1st June, 2026, and end on 31st May, 2027)</t>
  </si>
  <si>
    <t>Motherson Change Request for Email Notification + Bugfix on 11032026 + Bugfix on 18052026</t>
  </si>
  <si>
    <t>INV-202627-0001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</si>
</sst>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/>
    <xf numFmtId="14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07"/>
  <sheetViews>
    <sheetView tabSelected="1" workbookViewId="0">
      <selection activeCell="A15" sqref="A15"/>
    </sheetView>
  </sheetViews>
  <sheetFormatPr defaultColWidth="14.453125" defaultRowHeight="15" customHeight="1" x14ac:dyDescent="0.35"/>
  <cols>
    <col min="1" max="1" width="61.08984375" bestFit="1" customWidth="1"/>
    <col min="2" max="2" width="13.81640625" customWidth="1"/>
    <col min="3" max="4" width="15.1796875" customWidth="1"/>
    <col min="5" max="5" width="11.453125" customWidth="1"/>
    <col min="6" max="6" width="8.7265625" customWidth="1"/>
    <col min="7" max="7" width="48" customWidth="1"/>
    <col min="8" max="26" width="8.7265625" customWidth="1"/>
  </cols>
  <sheetData>
    <row r="1" spans="1:7" ht="14.25" customHeight="1" x14ac:dyDescent="0.35">
      <c r="A1" s="1" t="s">
        <v>0</v>
      </c>
      <c r="B1" s="1" t="s">
        <v>1</v>
      </c>
      <c r="C1" s="1" t="s">
        <v>2</v>
      </c>
      <c r="D1" s="1" t="s">
        <v>32</v>
      </c>
      <c r="E1" s="1" t="s">
        <v>3</v>
      </c>
      <c r="G1" s="1" t="s">
        <v>4</v>
      </c>
    </row>
    <row r="2" spans="1:7" ht="29" hidden="1" x14ac:dyDescent="0.35">
      <c r="A2" s="2" t="s">
        <v>5</v>
      </c>
      <c r="B2" s="2">
        <f>25000+5000</f>
        <v>30000</v>
      </c>
      <c r="C2" s="2">
        <f>25000+5000</f>
        <v>30000</v>
      </c>
      <c r="D2" s="2">
        <f>25000+5000</f>
        <v>30000</v>
      </c>
      <c r="E2" s="2">
        <f>B2-D2</f>
        <v>0</v>
      </c>
      <c r="G2" s="7" t="s">
        <v>17</v>
      </c>
    </row>
    <row r="3" spans="1:7" ht="14.25" hidden="1" customHeight="1" x14ac:dyDescent="0.35">
      <c r="A3" s="3" t="s">
        <v>6</v>
      </c>
      <c r="B3" s="2">
        <v>10000</v>
      </c>
      <c r="C3" s="2">
        <v>10000</v>
      </c>
      <c r="D3" s="2">
        <v>10000</v>
      </c>
      <c r="E3" s="2">
        <f t="shared" ref="E3:E11" si="0">B3-D3</f>
        <v>0</v>
      </c>
    </row>
    <row r="4" spans="1:7" ht="14.5" hidden="1" x14ac:dyDescent="0.35">
      <c r="A4" s="2" t="s">
        <v>7</v>
      </c>
      <c r="B4" s="2">
        <v>125000</v>
      </c>
      <c r="C4" s="2">
        <f>31250+62500+31250</f>
        <v>125000</v>
      </c>
      <c r="D4" s="2">
        <f>31250+62500+31250</f>
        <v>125000</v>
      </c>
      <c r="E4" s="2">
        <f t="shared" si="0"/>
        <v>0</v>
      </c>
    </row>
    <row r="5" spans="1:7" ht="58" hidden="1" x14ac:dyDescent="0.35">
      <c r="A5" t="s">
        <v>18</v>
      </c>
      <c r="B5" s="2">
        <f>2000+1000+1000</f>
        <v>4000</v>
      </c>
      <c r="C5" s="2">
        <v>4000</v>
      </c>
      <c r="D5" s="2">
        <v>4000</v>
      </c>
      <c r="E5" s="2">
        <f t="shared" si="0"/>
        <v>0</v>
      </c>
      <c r="G5" s="7" t="s">
        <v>19</v>
      </c>
    </row>
    <row r="6" spans="1:7" ht="14.5" hidden="1" x14ac:dyDescent="0.35">
      <c r="A6" t="s">
        <v>21</v>
      </c>
      <c r="B6" s="2">
        <v>100000</v>
      </c>
      <c r="C6" s="2">
        <f>25000+25000+25000+25000</f>
        <v>100000</v>
      </c>
      <c r="D6" s="2">
        <f>25000+25000+25000+25000</f>
        <v>100000</v>
      </c>
      <c r="E6" s="2">
        <f t="shared" si="0"/>
        <v>0</v>
      </c>
      <c r="G6" s="7"/>
    </row>
    <row r="7" spans="1:7" ht="29" hidden="1" x14ac:dyDescent="0.35">
      <c r="A7" t="s">
        <v>22</v>
      </c>
      <c r="B7">
        <v>10000</v>
      </c>
      <c r="C7">
        <v>10000</v>
      </c>
      <c r="D7">
        <v>10000</v>
      </c>
      <c r="E7" s="2">
        <f t="shared" si="0"/>
        <v>0</v>
      </c>
      <c r="G7" s="7" t="s">
        <v>23</v>
      </c>
    </row>
    <row r="8" spans="1:7" ht="14.5" hidden="1" x14ac:dyDescent="0.35">
      <c r="A8" t="s">
        <v>26</v>
      </c>
      <c r="B8">
        <v>40000</v>
      </c>
      <c r="C8">
        <f>20000+20000</f>
        <v>40000</v>
      </c>
      <c r="D8">
        <f>20000+20000</f>
        <v>40000</v>
      </c>
      <c r="E8" s="2">
        <f t="shared" si="0"/>
        <v>0</v>
      </c>
      <c r="G8" s="7"/>
    </row>
    <row r="9" spans="1:7" ht="14.5" hidden="1" x14ac:dyDescent="0.35">
      <c r="A9" t="s">
        <v>30</v>
      </c>
      <c r="B9">
        <v>20000</v>
      </c>
      <c r="C9">
        <v>20000</v>
      </c>
      <c r="D9">
        <v>20000</v>
      </c>
      <c r="E9" s="2">
        <f t="shared" si="0"/>
        <v>0</v>
      </c>
      <c r="G9" s="7"/>
    </row>
    <row r="10" spans="1:7" ht="14.5" x14ac:dyDescent="0.35">
      <c r="A10" t="s">
        <v>35</v>
      </c>
      <c r="B10">
        <f>20000+5000+10000</f>
        <v>35000</v>
      </c>
      <c r="C10">
        <v>20000</v>
      </c>
      <c r="D10">
        <v>20000</v>
      </c>
      <c r="E10" s="2">
        <f t="shared" si="0"/>
        <v>15000</v>
      </c>
      <c r="G10" s="7"/>
    </row>
    <row r="11" spans="1:7" ht="14.5" x14ac:dyDescent="0.35">
      <c r="A11" t="s">
        <v>33</v>
      </c>
      <c r="B11">
        <v>80000</v>
      </c>
      <c r="C11">
        <v>20000</v>
      </c>
      <c r="D11">
        <v>20000</v>
      </c>
      <c r="E11">
        <f t="shared" si="0"/>
        <v>60000</v>
      </c>
      <c r="G11" s="7"/>
    </row>
    <row r="12" spans="1:7" ht="14.5" x14ac:dyDescent="0.35">
      <c r="A12" t="s">
        <v>34</v>
      </c>
      <c r="B12">
        <v>120000</v>
      </c>
      <c r="C12">
        <v>0</v>
      </c>
      <c r="D12">
        <v>0</v>
      </c>
      <c r="E12">
        <f t="shared" ref="E12" si="1">B12-D12</f>
        <v>120000</v>
      </c>
      <c r="G12" s="7"/>
    </row>
    <row r="13" spans="1:7" ht="14.25" customHeight="1" x14ac:dyDescent="0.35">
      <c r="A13" s="4" t="s">
        <v>8</v>
      </c>
      <c r="B13" s="5">
        <f>SUM(B2:B12)</f>
        <v>574000</v>
      </c>
      <c r="C13" s="5">
        <f t="shared" ref="C13:E13" si="2">SUM(C2:C12)</f>
        <v>379000</v>
      </c>
      <c r="D13" s="5">
        <f t="shared" si="2"/>
        <v>379000</v>
      </c>
      <c r="E13" s="5">
        <f t="shared" si="2"/>
        <v>195000</v>
      </c>
    </row>
    <row r="14" spans="1:7" ht="14.25" customHeight="1" x14ac:dyDescent="0.35"/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</sheetData>
  <autoFilter ref="A1:E13" xr:uid="{00000000-0001-0000-0000-000000000000}">
    <filterColumn colId="4">
      <filters>
        <filter val="120000"/>
        <filter val="15000"/>
        <filter val="60000"/>
        <filter val="75000"/>
      </filters>
    </filterColumn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FDBC-AC56-4546-BB01-438C6EF1B27E}">
  <dimension ref="A1:C3"/>
  <sheetViews>
    <sheetView workbookViewId="0">
      <selection activeCell="A2" sqref="A2"/>
    </sheetView>
  </sheetViews>
  <sheetFormatPr defaultRowHeight="14.5" x14ac:dyDescent="0.35"/>
  <cols>
    <col min="1" max="1" width="15.08984375" bestFit="1" customWidth="1"/>
    <col min="2" max="2" width="11.08984375" bestFit="1" customWidth="1"/>
    <col min="3" max="3" width="7.54296875" bestFit="1" customWidth="1"/>
  </cols>
  <sheetData>
    <row r="1" spans="1:3" x14ac:dyDescent="0.35">
      <c r="A1" s="1" t="s">
        <v>9</v>
      </c>
      <c r="B1" s="1" t="s">
        <v>10</v>
      </c>
      <c r="C1" s="1" t="s">
        <v>11</v>
      </c>
    </row>
    <row r="2" spans="1:3" x14ac:dyDescent="0.35">
      <c r="A2" t="s">
        <v>36</v>
      </c>
      <c r="B2" s="6">
        <v>46113</v>
      </c>
      <c r="C2">
        <v>40000</v>
      </c>
    </row>
    <row r="3" spans="1:3" x14ac:dyDescent="0.35">
      <c r="C3">
        <f>SUM(C2:C2)</f>
        <v>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workbookViewId="0">
      <selection sqref="A1:D14"/>
    </sheetView>
  </sheetViews>
  <sheetFormatPr defaultColWidth="14.453125" defaultRowHeight="15" customHeight="1" x14ac:dyDescent="0.35"/>
  <cols>
    <col min="1" max="1" width="9.54296875" customWidth="1"/>
    <col min="2" max="2" width="11.1796875" customWidth="1"/>
    <col min="3" max="26" width="8.7265625" customWidth="1"/>
  </cols>
  <sheetData>
    <row r="1" spans="1:3" ht="14.25" customHeight="1" x14ac:dyDescent="0.35">
      <c r="A1" s="1" t="s">
        <v>9</v>
      </c>
      <c r="B1" s="1" t="s">
        <v>10</v>
      </c>
      <c r="C1" s="1" t="s">
        <v>11</v>
      </c>
    </row>
    <row r="2" spans="1:3" ht="14.25" customHeight="1" x14ac:dyDescent="0.35">
      <c r="A2" t="s">
        <v>12</v>
      </c>
      <c r="B2" s="6">
        <v>45559</v>
      </c>
      <c r="C2">
        <v>31250</v>
      </c>
    </row>
    <row r="3" spans="1:3" ht="14.25" customHeight="1" x14ac:dyDescent="0.35">
      <c r="A3" t="s">
        <v>13</v>
      </c>
      <c r="B3" s="6">
        <v>45586</v>
      </c>
      <c r="C3">
        <v>62500</v>
      </c>
    </row>
    <row r="4" spans="1:3" ht="14.25" customHeight="1" x14ac:dyDescent="0.35">
      <c r="A4" t="s">
        <v>14</v>
      </c>
      <c r="B4" s="6">
        <v>45586</v>
      </c>
      <c r="C4">
        <v>12500</v>
      </c>
    </row>
    <row r="5" spans="1:3" ht="14.25" customHeight="1" x14ac:dyDescent="0.35">
      <c r="A5" t="s">
        <v>15</v>
      </c>
      <c r="B5" s="6">
        <v>45586</v>
      </c>
      <c r="C5">
        <v>5000</v>
      </c>
    </row>
    <row r="6" spans="1:3" ht="14.25" customHeight="1" x14ac:dyDescent="0.35">
      <c r="A6" t="s">
        <v>16</v>
      </c>
      <c r="B6" s="6">
        <v>45608</v>
      </c>
      <c r="C6">
        <v>32500</v>
      </c>
    </row>
    <row r="7" spans="1:3" ht="14.25" customHeight="1" x14ac:dyDescent="0.35">
      <c r="A7" t="s">
        <v>20</v>
      </c>
      <c r="B7" s="6">
        <v>45658</v>
      </c>
      <c r="C7">
        <v>26500</v>
      </c>
    </row>
    <row r="8" spans="1:3" ht="14.25" customHeight="1" x14ac:dyDescent="0.35">
      <c r="A8" t="s">
        <v>24</v>
      </c>
      <c r="B8" s="6">
        <v>45703</v>
      </c>
      <c r="C8">
        <v>25000</v>
      </c>
    </row>
    <row r="9" spans="1:3" ht="14.25" customHeight="1" x14ac:dyDescent="0.35">
      <c r="A9" t="s">
        <v>25</v>
      </c>
      <c r="B9" s="6">
        <v>45717</v>
      </c>
      <c r="C9">
        <v>10000</v>
      </c>
    </row>
    <row r="10" spans="1:3" ht="14.25" customHeight="1" x14ac:dyDescent="0.35">
      <c r="A10" t="s">
        <v>27</v>
      </c>
      <c r="B10" s="6">
        <v>45778</v>
      </c>
      <c r="C10">
        <v>45000</v>
      </c>
    </row>
    <row r="11" spans="1:3" ht="14.25" customHeight="1" x14ac:dyDescent="0.35">
      <c r="A11" t="s">
        <v>28</v>
      </c>
      <c r="B11" s="6">
        <v>45870</v>
      </c>
      <c r="C11">
        <v>45000</v>
      </c>
    </row>
    <row r="12" spans="1:3" ht="14.25" customHeight="1" x14ac:dyDescent="0.35">
      <c r="A12" t="s">
        <v>29</v>
      </c>
      <c r="B12" s="6">
        <v>46022</v>
      </c>
      <c r="C12">
        <v>25000</v>
      </c>
    </row>
    <row r="13" spans="1:3" ht="14.25" customHeight="1" x14ac:dyDescent="0.35">
      <c r="A13" t="s">
        <v>31</v>
      </c>
      <c r="B13" s="6">
        <v>46054</v>
      </c>
      <c r="C13">
        <v>20000</v>
      </c>
    </row>
    <row r="14" spans="1:3" ht="14.25" customHeight="1" x14ac:dyDescent="0.35">
      <c r="C14">
        <f>SUM(C2:C13)</f>
        <v>340250</v>
      </c>
    </row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FY 2026-27</vt:lpstr>
      <vt:lpstr>Old INVs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a51957</cp:lastModifiedBy>
  <dcterms:created xsi:type="dcterms:W3CDTF">2006-09-16T00:00:00Z</dcterms:created>
  <dcterms:modified xsi:type="dcterms:W3CDTF">2026-05-18T09:21:47Z</dcterms:modified>
</cp:coreProperties>
</file>
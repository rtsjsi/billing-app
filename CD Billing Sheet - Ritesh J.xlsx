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defaultThemeVersion="124226"/>
  <xr:revisionPtr revIDLastSave="409" documentId="11_295FBB34A3AEB27DA996F8F978B492FCD433B8A0" xr6:coauthVersionLast="47" xr6:coauthVersionMax="47" xr10:uidLastSave="{508ABD0E-2682-4580-86CB-1BDC7522C82D}"/>
  <bookViews>
    <workbookView xWindow="-110" yWindow="-110" windowWidth="19420" windowHeight="10300" xr2:uid="{00000000-000D-0000-FFFF-FFFF00000000}"/>
  </bookViews>
  <sheets>
    <sheet name="Summary" sheetId="1" r:id="rId1"/>
    <sheet name="FY 2026_27 Invoices" sheetId="3" r:id="rId2"/>
    <sheet name="FY 2025_26 Invoices" sheetId="2" r:id="rId3"/>
  </sheets>
  <definedNames>
    <definedName name="_xlnm._FilterDatabase" localSheetId="0" hidden="1">Summary!$A$1:$I$26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 l="1"/>
  <c r="G25" i="1"/>
  <c r="G26" i="1"/>
  <c r="D26" i="1"/>
  <c r="F25" i="1"/>
  <c r="F26" i="1"/>
  <c r="C26" i="1"/>
  <c r="G24" i="1"/>
  <c r="F24" i="1"/>
  <c r="G23" i="1"/>
  <c r="F23" i="1"/>
  <c r="G22" i="1"/>
  <c r="F22" i="1"/>
  <c r="G21" i="1"/>
  <c r="F21" i="1"/>
  <c r="G20" i="1"/>
  <c r="F20" i="1"/>
  <c r="E10" i="1"/>
  <c r="E8" i="1"/>
  <c r="D10" i="1"/>
  <c r="D8" i="1"/>
  <c r="C10" i="1"/>
  <c r="C11" i="3"/>
  <c r="C11" i="2"/>
  <c r="F16" i="1"/>
  <c r="G19" i="1"/>
  <c r="F19" i="1"/>
  <c r="G18" i="1"/>
  <c r="F18" i="1"/>
  <c r="G17" i="1"/>
  <c r="F17" i="1"/>
  <c r="G16" i="1"/>
  <c r="G15" i="1"/>
  <c r="F15" i="1"/>
  <c r="G14" i="1"/>
  <c r="F14" i="1"/>
  <c r="G13" i="1"/>
  <c r="F13" i="1"/>
  <c r="G12" i="1"/>
  <c r="F12" i="1"/>
  <c r="G11" i="1"/>
  <c r="F11" i="1"/>
  <c r="G9" i="1"/>
  <c r="F9" i="1"/>
  <c r="G7" i="1"/>
  <c r="F7" i="1"/>
  <c r="G6" i="1"/>
  <c r="F6" i="1"/>
  <c r="G5" i="1"/>
  <c r="F5" i="1"/>
  <c r="G3" i="1"/>
  <c r="F3" i="1"/>
  <c r="G2" i="1"/>
  <c r="F2" i="1"/>
  <c r="C8" i="1"/>
  <c r="E4" i="1"/>
  <c r="D4" i="1"/>
  <c r="C4" i="1"/>
  <c r="F4" i="1" l="1"/>
  <c r="G8" i="1"/>
  <c r="G10" i="1"/>
  <c r="F10" i="1"/>
  <c r="F8" i="1"/>
  <c r="G4" i="1"/>
</calcChain>
</file>

<file path=xl/sharedStrings.xml><?xml version="1.0" encoding="utf-8"?>
<sst xmlns="http://schemas.openxmlformats.org/spreadsheetml/2006/main" count="83" uniqueCount="59">
  <si>
    <t>No</t>
  </si>
  <si>
    <t>Project Name</t>
  </si>
  <si>
    <t>Project Amount</t>
  </si>
  <si>
    <t>Invoiced Amount</t>
  </si>
  <si>
    <t>Paid Amount</t>
  </si>
  <si>
    <t>Remark</t>
  </si>
  <si>
    <t>Craftsman ASN Changes</t>
  </si>
  <si>
    <t>Fadv Einvoice</t>
  </si>
  <si>
    <t>LSI Reports</t>
  </si>
  <si>
    <t>Added 15k in Original Amount for Extra Efforts</t>
  </si>
  <si>
    <t>LSI Reports (Tunning and New Report)</t>
  </si>
  <si>
    <t>As discussed on WP</t>
  </si>
  <si>
    <t>Total</t>
  </si>
  <si>
    <t>Invoice No</t>
  </si>
  <si>
    <t>Invoice Date</t>
  </si>
  <si>
    <t>Amount</t>
  </si>
  <si>
    <t>INV-1001</t>
  </si>
  <si>
    <t>17-7-2025</t>
  </si>
  <si>
    <t>INV-1002</t>
  </si>
  <si>
    <t>20-8-2025</t>
  </si>
  <si>
    <t>Invoice (Sep-Oct 25)</t>
  </si>
  <si>
    <t>INV-1003</t>
  </si>
  <si>
    <t>INV-1004</t>
  </si>
  <si>
    <t>Invoice (Oct-Nov 25)</t>
  </si>
  <si>
    <t>Fadv Einvoice Design Change and AP</t>
  </si>
  <si>
    <t xml:space="preserve">Will add aditional 5k for efforts due to frequent cloning </t>
  </si>
  <si>
    <t>LSI TID Report</t>
  </si>
  <si>
    <t>INV-1005</t>
  </si>
  <si>
    <t>LSI Journal Ledger Report</t>
  </si>
  <si>
    <t>Kota Visit</t>
  </si>
  <si>
    <t>INV-1006</t>
  </si>
  <si>
    <t>INV-1007</t>
  </si>
  <si>
    <t>LSI TID Report With Supplier Parameter (CR for Sorting)</t>
  </si>
  <si>
    <t>CT SR and PR Performance Issue</t>
  </si>
  <si>
    <t>OSC Malaysia BIP for EINV</t>
  </si>
  <si>
    <t>Add Transaction Finish Date as paraeter in LSI Project Cost with Distribution Details Report</t>
  </si>
  <si>
    <t>Add Project Status as paraeter in LSI Project Cost with Distribution Details Report</t>
  </si>
  <si>
    <t>Status</t>
  </si>
  <si>
    <t>Closed</t>
  </si>
  <si>
    <t>UAT</t>
  </si>
  <si>
    <t>CT SR and PR Changes</t>
  </si>
  <si>
    <t>LSI TID Report New Requirement from Saurabh</t>
  </si>
  <si>
    <t>Incorporate sort by "Natural Account". 
Please look into the sort by amount. I dont think that is working.
include another parameter for "Customer Number" and incorporate search based on that. This would be same as our vendor number search but the results would be more on the AR side.</t>
  </si>
  <si>
    <t>Invoice Pending</t>
  </si>
  <si>
    <t>Payment Pending</t>
  </si>
  <si>
    <t>5k Added for New Req from Sabrina on 02Apr2026</t>
  </si>
  <si>
    <t>LSI Asset Register Change Needed from Jacque</t>
  </si>
  <si>
    <t>INV-1008</t>
  </si>
  <si>
    <t>INV-1009</t>
  </si>
  <si>
    <t>INV-202627-1001</t>
  </si>
  <si>
    <t>Changes in Retail Statement Report</t>
  </si>
  <si>
    <t>* Add page numbers in the footer
* Exclude zero-dollar transactions
* Merge customer transactions into a single consolidated table</t>
  </si>
  <si>
    <t>Changes in LSI Ageing Report</t>
  </si>
  <si>
    <t>* Add customer account description
* Consolidate lines by customer</t>
  </si>
  <si>
    <t>INPROCESS</t>
  </si>
  <si>
    <t>Chalhoub UAE AP</t>
  </si>
  <si>
    <t>Chalhoub UAE AR</t>
  </si>
  <si>
    <t>Chalhoub Oman AR</t>
  </si>
  <si>
    <t>Chalhoub Oman 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</si>
</sst>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0" fillId="2" borderId="0" xfId="0" applyFill="1"/>
    <xf numFmtId="14" fontId="0" fillId="0" borderId="0" xfId="0" applyNumberFormat="1"/>
    <xf numFmtId="0" fontId="0" fillId="2" borderId="0" xfId="0" applyFill="1" applyAlignment="1">
      <alignmen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6"/>
  <sheetViews>
    <sheetView tabSelected="1" workbookViewId="0">
      <selection activeCell="H22" sqref="H22"/>
    </sheetView>
  </sheetViews>
  <sheetFormatPr defaultRowHeight="14.5" x14ac:dyDescent="0.35"/>
  <cols>
    <col min="2" max="2" width="50.453125" style="1" bestFit="1" customWidth="1"/>
    <col min="3" max="3" width="13.81640625" bestFit="1" customWidth="1"/>
    <col min="4" max="4" width="15.1796875" bestFit="1" customWidth="1"/>
    <col min="5" max="6" width="15.1796875" customWidth="1"/>
    <col min="7" max="7" width="15.26953125" bestFit="1" customWidth="1"/>
    <col min="8" max="8" width="10" bestFit="1" customWidth="1"/>
    <col min="9" max="9" width="51.54296875" bestFit="1" customWidth="1"/>
  </cols>
  <sheetData>
    <row r="1" spans="1:9" x14ac:dyDescent="0.35">
      <c r="A1" s="3" t="s">
        <v>0</v>
      </c>
      <c r="B1" s="5" t="s">
        <v>1</v>
      </c>
      <c r="C1" s="3" t="s">
        <v>2</v>
      </c>
      <c r="D1" s="3" t="s">
        <v>3</v>
      </c>
      <c r="E1" s="3" t="s">
        <v>4</v>
      </c>
      <c r="F1" s="3" t="s">
        <v>43</v>
      </c>
      <c r="G1" s="3" t="s">
        <v>44</v>
      </c>
      <c r="H1" s="3" t="s">
        <v>37</v>
      </c>
      <c r="I1" s="3" t="s">
        <v>5</v>
      </c>
    </row>
    <row r="2" spans="1:9" hidden="1" x14ac:dyDescent="0.35">
      <c r="A2">
        <v>1</v>
      </c>
      <c r="B2" s="1" t="s">
        <v>6</v>
      </c>
      <c r="C2">
        <v>25000</v>
      </c>
      <c r="D2">
        <v>25000</v>
      </c>
      <c r="E2">
        <v>25000</v>
      </c>
      <c r="F2">
        <f>C2-D2</f>
        <v>0</v>
      </c>
      <c r="G2">
        <f>C2-E2</f>
        <v>0</v>
      </c>
      <c r="H2" t="s">
        <v>38</v>
      </c>
    </row>
    <row r="3" spans="1:9" hidden="1" x14ac:dyDescent="0.35">
      <c r="A3">
        <v>2</v>
      </c>
      <c r="B3" s="1" t="s">
        <v>7</v>
      </c>
      <c r="C3">
        <v>90000</v>
      </c>
      <c r="D3">
        <v>90000</v>
      </c>
      <c r="E3">
        <v>90000</v>
      </c>
      <c r="F3">
        <f t="shared" ref="F3:F19" si="0">C3-D3</f>
        <v>0</v>
      </c>
      <c r="G3">
        <f t="shared" ref="G3:G19" si="1">C3-E3</f>
        <v>0</v>
      </c>
      <c r="H3" t="s">
        <v>38</v>
      </c>
    </row>
    <row r="4" spans="1:9" hidden="1" x14ac:dyDescent="0.35">
      <c r="A4">
        <v>3</v>
      </c>
      <c r="B4" s="1" t="s">
        <v>8</v>
      </c>
      <c r="C4">
        <f>25000+15000</f>
        <v>40000</v>
      </c>
      <c r="D4">
        <f>25000+15000</f>
        <v>40000</v>
      </c>
      <c r="E4">
        <f>25000+15000</f>
        <v>40000</v>
      </c>
      <c r="F4">
        <f t="shared" si="0"/>
        <v>0</v>
      </c>
      <c r="G4">
        <f t="shared" si="1"/>
        <v>0</v>
      </c>
      <c r="H4" t="s">
        <v>38</v>
      </c>
      <c r="I4" t="s">
        <v>9</v>
      </c>
    </row>
    <row r="5" spans="1:9" hidden="1" x14ac:dyDescent="0.35">
      <c r="A5">
        <v>4</v>
      </c>
      <c r="B5" s="1" t="s">
        <v>10</v>
      </c>
      <c r="C5">
        <v>15000</v>
      </c>
      <c r="D5">
        <v>15000</v>
      </c>
      <c r="E5">
        <v>15000</v>
      </c>
      <c r="F5">
        <f t="shared" si="0"/>
        <v>0</v>
      </c>
      <c r="G5">
        <f t="shared" si="1"/>
        <v>0</v>
      </c>
      <c r="H5" t="s">
        <v>38</v>
      </c>
      <c r="I5" t="s">
        <v>11</v>
      </c>
    </row>
    <row r="6" spans="1:9" hidden="1" x14ac:dyDescent="0.35">
      <c r="A6">
        <v>5</v>
      </c>
      <c r="B6" s="1" t="s">
        <v>20</v>
      </c>
      <c r="C6">
        <v>70000</v>
      </c>
      <c r="D6">
        <v>70000</v>
      </c>
      <c r="E6">
        <v>70000</v>
      </c>
      <c r="F6">
        <f t="shared" si="0"/>
        <v>0</v>
      </c>
      <c r="G6">
        <f t="shared" si="1"/>
        <v>0</v>
      </c>
      <c r="H6" t="s">
        <v>38</v>
      </c>
    </row>
    <row r="7" spans="1:9" hidden="1" x14ac:dyDescent="0.35">
      <c r="A7">
        <v>6</v>
      </c>
      <c r="B7" s="1" t="s">
        <v>23</v>
      </c>
      <c r="C7">
        <v>70000</v>
      </c>
      <c r="D7">
        <v>70000</v>
      </c>
      <c r="E7">
        <v>70000</v>
      </c>
      <c r="F7">
        <f t="shared" si="0"/>
        <v>0</v>
      </c>
      <c r="G7">
        <f t="shared" si="1"/>
        <v>0</v>
      </c>
      <c r="H7" t="s">
        <v>38</v>
      </c>
    </row>
    <row r="8" spans="1:9" hidden="1" x14ac:dyDescent="0.35">
      <c r="A8">
        <v>7</v>
      </c>
      <c r="B8" s="1" t="s">
        <v>24</v>
      </c>
      <c r="C8">
        <f>55000+5000</f>
        <v>60000</v>
      </c>
      <c r="D8">
        <f>30000+30000</f>
        <v>60000</v>
      </c>
      <c r="E8">
        <f>30000+30000</f>
        <v>60000</v>
      </c>
      <c r="F8">
        <f t="shared" si="0"/>
        <v>0</v>
      </c>
      <c r="G8">
        <f t="shared" si="1"/>
        <v>0</v>
      </c>
      <c r="H8" t="s">
        <v>38</v>
      </c>
      <c r="I8" t="s">
        <v>25</v>
      </c>
    </row>
    <row r="9" spans="1:9" hidden="1" x14ac:dyDescent="0.35">
      <c r="A9">
        <v>8</v>
      </c>
      <c r="B9" s="1" t="s">
        <v>26</v>
      </c>
      <c r="C9">
        <v>10000</v>
      </c>
      <c r="D9">
        <v>10000</v>
      </c>
      <c r="E9">
        <v>10000</v>
      </c>
      <c r="F9">
        <f t="shared" si="0"/>
        <v>0</v>
      </c>
      <c r="G9">
        <f t="shared" si="1"/>
        <v>0</v>
      </c>
      <c r="H9" t="s">
        <v>38</v>
      </c>
    </row>
    <row r="10" spans="1:9" hidden="1" x14ac:dyDescent="0.35">
      <c r="A10">
        <v>9</v>
      </c>
      <c r="B10" s="1" t="s">
        <v>28</v>
      </c>
      <c r="C10">
        <f>35000+5000+5000</f>
        <v>45000</v>
      </c>
      <c r="D10">
        <f>30000+5000+10000</f>
        <v>45000</v>
      </c>
      <c r="E10">
        <f>30000+5000+10000</f>
        <v>45000</v>
      </c>
      <c r="F10">
        <f t="shared" si="0"/>
        <v>0</v>
      </c>
      <c r="G10">
        <f t="shared" si="1"/>
        <v>0</v>
      </c>
      <c r="H10" t="s">
        <v>38</v>
      </c>
      <c r="I10" t="s">
        <v>45</v>
      </c>
    </row>
    <row r="11" spans="1:9" hidden="1" x14ac:dyDescent="0.35">
      <c r="A11">
        <v>10</v>
      </c>
      <c r="B11" s="1" t="s">
        <v>29</v>
      </c>
      <c r="C11">
        <v>17355</v>
      </c>
      <c r="D11">
        <v>17355</v>
      </c>
      <c r="E11">
        <v>17355</v>
      </c>
      <c r="F11">
        <f t="shared" si="0"/>
        <v>0</v>
      </c>
      <c r="G11">
        <f t="shared" si="1"/>
        <v>0</v>
      </c>
      <c r="H11" t="s">
        <v>38</v>
      </c>
    </row>
    <row r="12" spans="1:9" ht="29" hidden="1" x14ac:dyDescent="0.35">
      <c r="A12">
        <v>11</v>
      </c>
      <c r="B12" s="1" t="s">
        <v>35</v>
      </c>
      <c r="C12">
        <v>5000</v>
      </c>
      <c r="D12">
        <v>5000</v>
      </c>
      <c r="E12">
        <v>5000</v>
      </c>
      <c r="F12">
        <f t="shared" si="0"/>
        <v>0</v>
      </c>
      <c r="G12">
        <f t="shared" si="1"/>
        <v>0</v>
      </c>
      <c r="H12" t="s">
        <v>38</v>
      </c>
    </row>
    <row r="13" spans="1:9" hidden="1" x14ac:dyDescent="0.35">
      <c r="A13">
        <v>12</v>
      </c>
      <c r="B13" s="1" t="s">
        <v>32</v>
      </c>
      <c r="C13">
        <v>10000</v>
      </c>
      <c r="D13">
        <v>10000</v>
      </c>
      <c r="E13">
        <v>10000</v>
      </c>
      <c r="F13">
        <f t="shared" si="0"/>
        <v>0</v>
      </c>
      <c r="G13">
        <f t="shared" si="1"/>
        <v>0</v>
      </c>
      <c r="H13" t="s">
        <v>38</v>
      </c>
    </row>
    <row r="14" spans="1:9" hidden="1" x14ac:dyDescent="0.35">
      <c r="A14">
        <v>13</v>
      </c>
      <c r="B14" s="1" t="s">
        <v>33</v>
      </c>
      <c r="C14">
        <v>10000</v>
      </c>
      <c r="D14">
        <v>10000</v>
      </c>
      <c r="E14">
        <v>10000</v>
      </c>
      <c r="F14">
        <f t="shared" si="0"/>
        <v>0</v>
      </c>
      <c r="G14">
        <f t="shared" si="1"/>
        <v>0</v>
      </c>
      <c r="H14" t="s">
        <v>38</v>
      </c>
    </row>
    <row r="15" spans="1:9" ht="29" hidden="1" x14ac:dyDescent="0.35">
      <c r="A15">
        <v>14</v>
      </c>
      <c r="B15" s="1" t="s">
        <v>36</v>
      </c>
      <c r="C15">
        <v>4000</v>
      </c>
      <c r="D15">
        <v>4000</v>
      </c>
      <c r="E15">
        <v>4000</v>
      </c>
      <c r="F15">
        <f t="shared" si="0"/>
        <v>0</v>
      </c>
      <c r="G15">
        <f t="shared" si="1"/>
        <v>0</v>
      </c>
      <c r="H15" t="s">
        <v>38</v>
      </c>
    </row>
    <row r="16" spans="1:9" hidden="1" x14ac:dyDescent="0.35">
      <c r="A16">
        <v>15</v>
      </c>
      <c r="B16" s="1" t="s">
        <v>34</v>
      </c>
      <c r="C16">
        <v>40000</v>
      </c>
      <c r="D16">
        <v>40000</v>
      </c>
      <c r="E16">
        <v>40000</v>
      </c>
      <c r="F16">
        <f t="shared" si="0"/>
        <v>0</v>
      </c>
      <c r="G16">
        <f t="shared" si="1"/>
        <v>0</v>
      </c>
      <c r="H16" t="s">
        <v>38</v>
      </c>
    </row>
    <row r="17" spans="1:9" hidden="1" x14ac:dyDescent="0.35">
      <c r="A17">
        <v>16</v>
      </c>
      <c r="B17" s="1" t="s">
        <v>40</v>
      </c>
      <c r="C17">
        <v>10000</v>
      </c>
      <c r="D17">
        <v>10000</v>
      </c>
      <c r="E17">
        <v>10000</v>
      </c>
      <c r="F17">
        <f t="shared" si="0"/>
        <v>0</v>
      </c>
      <c r="G17">
        <f t="shared" si="1"/>
        <v>0</v>
      </c>
      <c r="H17" t="s">
        <v>38</v>
      </c>
    </row>
    <row r="18" spans="1:9" ht="101.5" hidden="1" x14ac:dyDescent="0.35">
      <c r="A18">
        <v>17</v>
      </c>
      <c r="B18" s="1" t="s">
        <v>41</v>
      </c>
      <c r="C18">
        <v>10000</v>
      </c>
      <c r="D18">
        <v>10000</v>
      </c>
      <c r="E18">
        <v>10000</v>
      </c>
      <c r="F18">
        <f t="shared" si="0"/>
        <v>0</v>
      </c>
      <c r="G18">
        <f t="shared" si="1"/>
        <v>0</v>
      </c>
      <c r="H18" t="s">
        <v>38</v>
      </c>
      <c r="I18" s="1" t="s">
        <v>42</v>
      </c>
    </row>
    <row r="19" spans="1:9" x14ac:dyDescent="0.35">
      <c r="A19">
        <v>18</v>
      </c>
      <c r="B19" s="1" t="s">
        <v>46</v>
      </c>
      <c r="C19">
        <v>10000</v>
      </c>
      <c r="D19">
        <v>10000</v>
      </c>
      <c r="E19">
        <v>10000</v>
      </c>
      <c r="F19">
        <f t="shared" si="0"/>
        <v>0</v>
      </c>
      <c r="G19">
        <f t="shared" si="1"/>
        <v>0</v>
      </c>
      <c r="H19" t="s">
        <v>39</v>
      </c>
      <c r="I19" s="1"/>
    </row>
    <row r="20" spans="1:9" ht="58" x14ac:dyDescent="0.35">
      <c r="A20">
        <v>19</v>
      </c>
      <c r="B20" s="1" t="s">
        <v>50</v>
      </c>
      <c r="C20">
        <v>10000</v>
      </c>
      <c r="D20">
        <v>0</v>
      </c>
      <c r="E20">
        <v>0</v>
      </c>
      <c r="F20">
        <f t="shared" ref="F20:F21" si="2">C20-D20</f>
        <v>10000</v>
      </c>
      <c r="G20">
        <f t="shared" ref="G20:G21" si="3">C20-E20</f>
        <v>10000</v>
      </c>
      <c r="H20" t="s">
        <v>39</v>
      </c>
      <c r="I20" s="1" t="s">
        <v>51</v>
      </c>
    </row>
    <row r="21" spans="1:9" ht="29" x14ac:dyDescent="0.35">
      <c r="A21">
        <v>20</v>
      </c>
      <c r="B21" s="1" t="s">
        <v>52</v>
      </c>
      <c r="C21">
        <v>5000</v>
      </c>
      <c r="D21">
        <v>0</v>
      </c>
      <c r="E21">
        <v>0</v>
      </c>
      <c r="F21">
        <f t="shared" si="2"/>
        <v>5000</v>
      </c>
      <c r="G21">
        <f t="shared" si="3"/>
        <v>5000</v>
      </c>
      <c r="H21" t="s">
        <v>39</v>
      </c>
      <c r="I21" s="1" t="s">
        <v>53</v>
      </c>
    </row>
    <row r="22" spans="1:9" x14ac:dyDescent="0.35">
      <c r="A22">
        <v>21</v>
      </c>
      <c r="B22" s="1" t="s">
        <v>56</v>
      </c>
      <c r="C22">
        <v>250000</v>
      </c>
      <c r="D22">
        <v>0</v>
      </c>
      <c r="E22">
        <v>0</v>
      </c>
      <c r="F22">
        <f t="shared" ref="F22:F25" si="4">C22-D22</f>
        <v>250000</v>
      </c>
      <c r="G22">
        <f t="shared" ref="G22:G25" si="5">C22-E22</f>
        <v>250000</v>
      </c>
      <c r="H22" t="s">
        <v>54</v>
      </c>
      <c r="I22" s="1"/>
    </row>
    <row r="23" spans="1:9" x14ac:dyDescent="0.35">
      <c r="A23">
        <v>22</v>
      </c>
      <c r="B23" s="1" t="s">
        <v>55</v>
      </c>
      <c r="C23">
        <v>80000</v>
      </c>
      <c r="D23">
        <v>0</v>
      </c>
      <c r="E23">
        <v>0</v>
      </c>
      <c r="F23">
        <f t="shared" si="4"/>
        <v>80000</v>
      </c>
      <c r="G23">
        <f t="shared" si="5"/>
        <v>80000</v>
      </c>
      <c r="H23" t="s">
        <v>54</v>
      </c>
      <c r="I23" s="1"/>
    </row>
    <row r="24" spans="1:9" x14ac:dyDescent="0.35">
      <c r="A24">
        <v>23</v>
      </c>
      <c r="B24" s="1" t="s">
        <v>57</v>
      </c>
      <c r="C24">
        <v>125000</v>
      </c>
      <c r="D24">
        <v>0</v>
      </c>
      <c r="E24">
        <v>0</v>
      </c>
      <c r="F24">
        <f t="shared" si="4"/>
        <v>125000</v>
      </c>
      <c r="G24">
        <f t="shared" si="5"/>
        <v>125000</v>
      </c>
      <c r="H24" t="s">
        <v>54</v>
      </c>
      <c r="I24" s="1"/>
    </row>
    <row r="25" spans="1:9" x14ac:dyDescent="0.35">
      <c r="A25">
        <v>24</v>
      </c>
      <c r="B25" s="1" t="s">
        <v>58</v>
      </c>
      <c r="C25">
        <v>45000</v>
      </c>
      <c r="D25">
        <v>0</v>
      </c>
      <c r="E25">
        <v>0</v>
      </c>
      <c r="F25">
        <f t="shared" si="4"/>
        <v>45000</v>
      </c>
      <c r="G25">
        <f t="shared" si="5"/>
        <v>45000</v>
      </c>
      <c r="H25" t="s">
        <v>54</v>
      </c>
      <c r="I25" s="1"/>
    </row>
    <row r="26" spans="1:9" x14ac:dyDescent="0.35">
      <c r="B26" s="6" t="s">
        <v>12</v>
      </c>
      <c r="C26" s="2">
        <f>SUM(C2:C25)</f>
        <v>1056355</v>
      </c>
      <c r="D26" s="2">
        <f>SUM(D2:D25)</f>
        <v>541355</v>
      </c>
      <c r="E26" s="2">
        <f>SUM(E2:E25)</f>
        <v>541355</v>
      </c>
      <c r="F26" s="2">
        <f>SUM(F2:F25)</f>
        <v>515000</v>
      </c>
      <c r="G26" s="2">
        <f>SUM(G2:G25)</f>
        <v>515000</v>
      </c>
    </row>
  </sheetData>
  <autoFilter ref="A1:I26" xr:uid="{00000000-0001-0000-0000-000000000000}">
    <filterColumn colId="7">
      <filters blank="1">
        <filter val="UAT"/>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43947-74D6-4FE7-B728-48E4951A1E7F}">
  <dimension ref="A1:C11"/>
  <sheetViews>
    <sheetView workbookViewId="0">
      <selection activeCell="D2" sqref="D2"/>
    </sheetView>
  </sheetViews>
  <sheetFormatPr defaultRowHeight="14.5" x14ac:dyDescent="0.35"/>
  <cols>
    <col min="1" max="1" width="15.08984375" bestFit="1" customWidth="1"/>
    <col min="2" max="2" width="11.1796875" bestFit="1" customWidth="1"/>
  </cols>
  <sheetData>
    <row r="1" spans="1:3" x14ac:dyDescent="0.35">
      <c r="A1" s="3" t="s">
        <v>13</v>
      </c>
      <c r="B1" s="3" t="s">
        <v>14</v>
      </c>
      <c r="C1" s="3" t="s">
        <v>15</v>
      </c>
    </row>
    <row r="2" spans="1:3" x14ac:dyDescent="0.35">
      <c r="A2" t="s">
        <v>49</v>
      </c>
      <c r="B2" s="4">
        <v>46143</v>
      </c>
      <c r="C2">
        <v>60000</v>
      </c>
    </row>
    <row r="3" spans="1:3" x14ac:dyDescent="0.35">
      <c r="B3" s="4"/>
    </row>
    <row r="4" spans="1:3" x14ac:dyDescent="0.35">
      <c r="B4" s="4"/>
    </row>
    <row r="5" spans="1:3" x14ac:dyDescent="0.35">
      <c r="B5" s="4"/>
    </row>
    <row r="6" spans="1:3" x14ac:dyDescent="0.35">
      <c r="B6" s="4"/>
    </row>
    <row r="7" spans="1:3" x14ac:dyDescent="0.35">
      <c r="B7" s="4"/>
    </row>
    <row r="8" spans="1:3" x14ac:dyDescent="0.35">
      <c r="B8" s="4"/>
    </row>
    <row r="9" spans="1:3" x14ac:dyDescent="0.35">
      <c r="B9" s="4"/>
    </row>
    <row r="10" spans="1:3" x14ac:dyDescent="0.35">
      <c r="B10" s="4"/>
    </row>
    <row r="11" spans="1:3" x14ac:dyDescent="0.35">
      <c r="C11">
        <f>SUM(C2:C10)</f>
        <v>60000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activeCell="B11" sqref="B11"/>
    </sheetView>
  </sheetViews>
  <sheetFormatPr defaultRowHeight="14.5" x14ac:dyDescent="0.35"/>
  <cols>
    <col min="1" max="1" width="9.54296875" bestFit="1" customWidth="1"/>
    <col min="2" max="2" width="11.1796875" bestFit="1" customWidth="1"/>
  </cols>
  <sheetData>
    <row r="1" spans="1:3" x14ac:dyDescent="0.35">
      <c r="A1" s="3" t="s">
        <v>13</v>
      </c>
      <c r="B1" s="3" t="s">
        <v>14</v>
      </c>
      <c r="C1" s="3" t="s">
        <v>15</v>
      </c>
    </row>
    <row r="2" spans="1:3" x14ac:dyDescent="0.35">
      <c r="A2" t="s">
        <v>16</v>
      </c>
      <c r="B2" s="4" t="s">
        <v>17</v>
      </c>
      <c r="C2">
        <v>50000</v>
      </c>
    </row>
    <row r="3" spans="1:3" x14ac:dyDescent="0.35">
      <c r="A3" t="s">
        <v>18</v>
      </c>
      <c r="B3" s="4" t="s">
        <v>19</v>
      </c>
      <c r="C3">
        <v>50000</v>
      </c>
    </row>
    <row r="4" spans="1:3" x14ac:dyDescent="0.35">
      <c r="A4" t="s">
        <v>21</v>
      </c>
      <c r="B4" s="4">
        <v>45922</v>
      </c>
      <c r="C4">
        <v>70000</v>
      </c>
    </row>
    <row r="5" spans="1:3" x14ac:dyDescent="0.35">
      <c r="A5" t="s">
        <v>22</v>
      </c>
      <c r="B5" s="4">
        <v>45950</v>
      </c>
      <c r="C5">
        <v>70000</v>
      </c>
    </row>
    <row r="6" spans="1:3" x14ac:dyDescent="0.35">
      <c r="A6" t="s">
        <v>27</v>
      </c>
      <c r="B6" s="4">
        <v>45991</v>
      </c>
      <c r="C6">
        <v>70000</v>
      </c>
    </row>
    <row r="7" spans="1:3" x14ac:dyDescent="0.35">
      <c r="A7" t="s">
        <v>30</v>
      </c>
      <c r="B7" s="4">
        <v>46042</v>
      </c>
      <c r="C7">
        <v>40000</v>
      </c>
    </row>
    <row r="8" spans="1:3" x14ac:dyDescent="0.35">
      <c r="A8" t="s">
        <v>31</v>
      </c>
      <c r="B8" s="4">
        <v>46054</v>
      </c>
      <c r="C8">
        <v>17355</v>
      </c>
    </row>
    <row r="9" spans="1:3" x14ac:dyDescent="0.35">
      <c r="A9" t="s">
        <v>47</v>
      </c>
      <c r="B9" s="4">
        <v>46079</v>
      </c>
      <c r="C9">
        <v>59000</v>
      </c>
    </row>
    <row r="10" spans="1:3" x14ac:dyDescent="0.35">
      <c r="A10" t="s">
        <v>48</v>
      </c>
      <c r="B10" s="4">
        <v>46111</v>
      </c>
      <c r="C10">
        <v>55000</v>
      </c>
    </row>
    <row r="11" spans="1:3" x14ac:dyDescent="0.35">
      <c r="C11">
        <f>SUM(C2:C10)</f>
        <v>481355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FY 2026_27 Invoices</vt:lpstr>
      <vt:lpstr>FY 2025_26 Invoices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2026-05-18T15:36:01Z</dcterms:modified>
  <cp:category/>
  <cp:contentStatus/>
</cp:coreProperties>
</file>